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0ae1bfafe608037/Desktop/abhinaya chandragiri/"/>
    </mc:Choice>
  </mc:AlternateContent>
  <xr:revisionPtr revIDLastSave="15" documentId="8_{3218DD48-75A2-4342-91B9-E9D5C580BE2A}" xr6:coauthVersionLast="47" xr6:coauthVersionMax="47" xr10:uidLastSave="{3107BAEE-5EC9-432B-ABAD-C7EB9500A4E2}"/>
  <bookViews>
    <workbookView xWindow="-110" yWindow="-110" windowWidth="19420" windowHeight="11500" tabRatio="500" activeTab="2" xr2:uid="{00000000-000D-0000-FFFF-FFFF00000000}"/>
  </bookViews>
  <sheets>
    <sheet name="Financial_Data" sheetId="1" r:id="rId1"/>
    <sheet name="Analysis" sheetId="2" r:id="rId2"/>
    <sheet name="Dashboard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<sst xmlns="http://schemas.openxmlformats.org/spreadsheetml/2006/main" count="174" uniqueCount="161">
  <si>
    <t>Date</t>
  </si>
  <si>
    <t>Open</t>
  </si>
  <si>
    <t>High</t>
  </si>
  <si>
    <t>Low</t>
  </si>
  <si>
    <t>Close</t>
  </si>
  <si>
    <t>Volume</t>
  </si>
  <si>
    <t>Revenue_Cr</t>
  </si>
  <si>
    <t>Expenses_Cr</t>
  </si>
  <si>
    <t>Profit_Cr</t>
  </si>
  <si>
    <t>BudgetRevenue_Cr</t>
  </si>
  <si>
    <t>BudgetExpenses_Cr</t>
  </si>
  <si>
    <t>2024-01-01</t>
  </si>
  <si>
    <t>1450.00</t>
  </si>
  <si>
    <t>1485.00</t>
  </si>
  <si>
    <t>1432.00</t>
  </si>
  <si>
    <t>1472.50</t>
  </si>
  <si>
    <t>1250000</t>
  </si>
  <si>
    <t>185.5</t>
  </si>
  <si>
    <t>142.3</t>
  </si>
  <si>
    <t>43.2</t>
  </si>
  <si>
    <t>180.0</t>
  </si>
  <si>
    <t>140.0</t>
  </si>
  <si>
    <t>2024-02-01</t>
  </si>
  <si>
    <t>1510.00</t>
  </si>
  <si>
    <t>1455.00</t>
  </si>
  <si>
    <t>1498.75</t>
  </si>
  <si>
    <t>1380000</t>
  </si>
  <si>
    <t>192.3</t>
  </si>
  <si>
    <t>148.1</t>
  </si>
  <si>
    <t>44.2</t>
  </si>
  <si>
    <t>188.0</t>
  </si>
  <si>
    <t>145.0</t>
  </si>
  <si>
    <t>2024-03-01</t>
  </si>
  <si>
    <t>1545.00</t>
  </si>
  <si>
    <t>1480.00</t>
  </si>
  <si>
    <t>1532.00</t>
  </si>
  <si>
    <t>1420000</t>
  </si>
  <si>
    <t>205.8</t>
  </si>
  <si>
    <t>155.4</t>
  </si>
  <si>
    <t>50.4</t>
  </si>
  <si>
    <t>200.0</t>
  </si>
  <si>
    <t>152.0</t>
  </si>
  <si>
    <t>2024-04-01</t>
  </si>
  <si>
    <t>1568.50</t>
  </si>
  <si>
    <t>1515.00</t>
  </si>
  <si>
    <t>1551.25</t>
  </si>
  <si>
    <t>1350000</t>
  </si>
  <si>
    <t>198.6</t>
  </si>
  <si>
    <t>151.2</t>
  </si>
  <si>
    <t>47.4</t>
  </si>
  <si>
    <t>195.0</t>
  </si>
  <si>
    <t>150.0</t>
  </si>
  <si>
    <t>2024-05-01</t>
  </si>
  <si>
    <t>1595.00</t>
  </si>
  <si>
    <t>1538.00</t>
  </si>
  <si>
    <t>1578.50</t>
  </si>
  <si>
    <t>1480000</t>
  </si>
  <si>
    <t>215.4</t>
  </si>
  <si>
    <t>162.8</t>
  </si>
  <si>
    <t>52.6</t>
  </si>
  <si>
    <t>210.0</t>
  </si>
  <si>
    <t>158.0</t>
  </si>
  <si>
    <t>2024-06-01</t>
  </si>
  <si>
    <t>1625.00</t>
  </si>
  <si>
    <t>1562.00</t>
  </si>
  <si>
    <t>1612.75</t>
  </si>
  <si>
    <t>1560000</t>
  </si>
  <si>
    <t>228.7</t>
  </si>
  <si>
    <t>170.5</t>
  </si>
  <si>
    <t>58.2</t>
  </si>
  <si>
    <t>222.0</t>
  </si>
  <si>
    <t>165.0</t>
  </si>
  <si>
    <t>2024-07-01</t>
  </si>
  <si>
    <t>1658.00</t>
  </si>
  <si>
    <t>1642.00</t>
  </si>
  <si>
    <t>1620000</t>
  </si>
  <si>
    <t>235.2</t>
  </si>
  <si>
    <t>175.8</t>
  </si>
  <si>
    <t>59.4</t>
  </si>
  <si>
    <t>228.0</t>
  </si>
  <si>
    <t>170.0</t>
  </si>
  <si>
    <t>2024-08-01</t>
  </si>
  <si>
    <t>1690.50</t>
  </si>
  <si>
    <t>1628.00</t>
  </si>
  <si>
    <t>1675.25</t>
  </si>
  <si>
    <t>1720000</t>
  </si>
  <si>
    <t>248.9</t>
  </si>
  <si>
    <t>183.6</t>
  </si>
  <si>
    <t>65.3</t>
  </si>
  <si>
    <t>240.0</t>
  </si>
  <si>
    <t>178.0</t>
  </si>
  <si>
    <t>2024-09-01</t>
  </si>
  <si>
    <t>1715.00</t>
  </si>
  <si>
    <t>1698.50</t>
  </si>
  <si>
    <t>1680000</t>
  </si>
  <si>
    <t>242.5</t>
  </si>
  <si>
    <t>180.2</t>
  </si>
  <si>
    <t>62.3</t>
  </si>
  <si>
    <t>238.0</t>
  </si>
  <si>
    <t>176.0</t>
  </si>
  <si>
    <t>2024-10-01</t>
  </si>
  <si>
    <t>1745.00</t>
  </si>
  <si>
    <t>1682.00</t>
  </si>
  <si>
    <t>1728.75</t>
  </si>
  <si>
    <t>1750000</t>
  </si>
  <si>
    <t>258.4</t>
  </si>
  <si>
    <t>190.1</t>
  </si>
  <si>
    <t>68.3</t>
  </si>
  <si>
    <t>252.0</t>
  </si>
  <si>
    <t>185.0</t>
  </si>
  <si>
    <t>2024-11-01</t>
  </si>
  <si>
    <t>1778.00</t>
  </si>
  <si>
    <t>1712.00</t>
  </si>
  <si>
    <t>1758.00</t>
  </si>
  <si>
    <t>1820000</t>
  </si>
  <si>
    <t>272.6</t>
  </si>
  <si>
    <t>198.4</t>
  </si>
  <si>
    <t>74.2</t>
  </si>
  <si>
    <t>265.0</t>
  </si>
  <si>
    <t>192.0</t>
  </si>
  <si>
    <t>2024-12-01</t>
  </si>
  <si>
    <t>1812.50</t>
  </si>
  <si>
    <t>1742.00</t>
  </si>
  <si>
    <t>1795.50</t>
  </si>
  <si>
    <t>1950000</t>
  </si>
  <si>
    <t>290.3</t>
  </si>
  <si>
    <t>208.7</t>
  </si>
  <si>
    <t>81.6</t>
  </si>
  <si>
    <t>282.0</t>
  </si>
  <si>
    <t>202.0</t>
  </si>
  <si>
    <t>Month</t>
  </si>
  <si>
    <t>Stock Close (₹)</t>
  </si>
  <si>
    <t>Revenue (Cr)</t>
  </si>
  <si>
    <t>Expenses (Cr)</t>
  </si>
  <si>
    <t>Profit (Cr)</t>
  </si>
  <si>
    <t>Budget Rev (Cr)</t>
  </si>
  <si>
    <t>Budget Exp (Cr)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</si>
  <si>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</si>
  <si>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</si>
  <si>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</si>
  <si>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</si>
  <si>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</si>
  <si>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</si>
  <si>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</si>
  <si>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</si>
  <si>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</si>
  <si>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</si>
  <si>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</si>
  <si>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</si>
  <si>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TRENDS DASHBOARD  |  FY 2024</t>
  </si>
  <si>
    <t>Stock Price  |  Revenue vs Budget  |  Profit Trends  |  Month-on-Month</t>
  </si>
  <si>
    <t>YEAR-END STOCK</t>
  </si>
  <si>
    <t>TOTAL REVENUE</t>
  </si>
  <si>
    <t>TOTAL PROFIT</t>
  </si>
  <si>
    <t>PROFIT MARGIN</t>
  </si>
  <si>
    <t>STOCK GROWTH</t>
  </si>
  <si>
    <t>₹1,795.50</t>
  </si>
  <si>
    <t>₹2,774.2 Cr</t>
  </si>
  <si>
    <t>₹706.9 Cr</t>
  </si>
  <si>
    <t>25.5%</t>
  </si>
  <si>
    <t>+21.9%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</si>
</sst>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b/>
      <sz val="18"/>
      <color rgb="FFFFFFFF"/>
      <name val="Arial"/>
      <charset val="1"/>
    </font>
    <font>
      <sz val="10"/>
      <color rgb="FFA9DFBF"/>
      <name val="Arial"/>
      <charset val="1"/>
    </font>
    <font>
      <b/>
      <sz val="16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34"/>
        <bgColor rgb="FF333300"/>
      </patternFill>
    </fill>
    <fill>
      <patternFill patternType="solid">
        <fgColor rgb="FFF2F9F1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0FFF4"/>
        <bgColor rgb="FFF2F9F1"/>
      </patternFill>
    </fill>
    <fill>
      <patternFill patternType="solid">
        <fgColor rgb="FF1E8449"/>
        <bgColor rgb="FF008080"/>
      </patternFill>
    </fill>
    <fill>
      <patternFill patternType="solid">
        <fgColor rgb="FFB7950B"/>
        <bgColor rgb="FFFF9900"/>
      </patternFill>
    </fill>
    <fill>
      <patternFill patternType="solid">
        <fgColor rgb="FF922B21"/>
        <bgColor rgb="FF993366"/>
      </patternFill>
    </fill>
    <fill>
      <patternFill patternType="solid">
        <fgColor rgb="FF1A237E"/>
        <bgColor rgb="FF33339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5" borderId="0" xfId="0" applyFill="1"/>
    <xf numFmtId="0" fontId="6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A9DFBF"/>
      <rgbColor rgb="FF878787"/>
      <rgbColor rgb="FF9999FF"/>
      <rgbColor rgb="FF993366"/>
      <rgbColor rgb="FFF2F9F1"/>
      <rgbColor rgb="FFF0FF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37E"/>
      <rgbColor rgb="FF1E8449"/>
      <rgbColor rgb="FF003300"/>
      <rgbColor rgb="FF333300"/>
      <rgbColor rgb="FF922B21"/>
      <rgbColor rgb="FF993366"/>
      <rgbColor rgb="FF333399"/>
      <rgbColor rgb="FF1A3C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Stock Price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Stock Close (₹)</c:v>
                </c:pt>
              </c:strCache>
            </c:strRef>
          </c:tx>
          <c:spPr>
            <a:ln w="24840">
              <a:solidFill>
                <a:srgbClr val="1E844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Analysis!$B$2:$B$13</c:f>
              <c:numCache>
                <c:formatCode>General</c:formatCode>
                <c:ptCount val="12"/>
                <c:pt idx="0">
                  <c:v>1472.5</c:v>
                </c:pt>
                <c:pt idx="1">
                  <c:v>1498.75</c:v>
                </c:pt>
                <c:pt idx="2">
                  <c:v>1532</c:v>
                </c:pt>
                <c:pt idx="3">
                  <c:v>1551.25</c:v>
                </c:pt>
                <c:pt idx="4">
                  <c:v>1578.5</c:v>
                </c:pt>
                <c:pt idx="5">
                  <c:v>1612.75</c:v>
                </c:pt>
                <c:pt idx="6">
                  <c:v>1642</c:v>
                </c:pt>
                <c:pt idx="7">
                  <c:v>1675.25</c:v>
                </c:pt>
                <c:pt idx="8">
                  <c:v>1698.5</c:v>
                </c:pt>
                <c:pt idx="9">
                  <c:v>1728.75</c:v>
                </c:pt>
                <c:pt idx="10">
                  <c:v>1758</c:v>
                </c:pt>
                <c:pt idx="11">
                  <c:v>1795.5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6F-46BE-AEDB-3DF79EF2D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8969"/>
        <c:axId val="4038152"/>
      </c:lineChart>
      <c:catAx>
        <c:axId val="598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38152"/>
        <c:crosses val="autoZero"/>
        <c:auto val="1"/>
        <c:lblAlgn val="ctr"/>
        <c:lblOffset val="100"/>
        <c:noMultiLvlLbl val="0"/>
      </c:catAx>
      <c:valAx>
        <c:axId val="40381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89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  <a:round/>
    </a:ln>
    <a:effectLst>
      <a:glow rad="330200">
        <a:schemeClr val="accent1">
          <a:alpha val="40000"/>
        </a:schemeClr>
      </a:glow>
      <a:outerShdw blurRad="50800" dist="127000" dir="8100000" algn="tr" rotWithShape="0">
        <a:prstClr val="black">
          <a:alpha val="61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vs Budget (Cr)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</c:f>
              <c:strCache>
                <c:ptCount val="1"/>
                <c:pt idx="0">
                  <c:v>Revenue (Cr)</c:v>
                </c:pt>
              </c:strCache>
            </c:strRef>
          </c:tx>
          <c:spPr>
            <a:solidFill>
              <a:srgbClr val="1E84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Analysis!$C$2:$C$13</c:f>
              <c:numCache>
                <c:formatCode>General</c:formatCode>
                <c:ptCount val="12"/>
                <c:pt idx="0">
                  <c:v>185.5</c:v>
                </c:pt>
                <c:pt idx="1">
                  <c:v>192.3</c:v>
                </c:pt>
                <c:pt idx="2">
                  <c:v>205.8</c:v>
                </c:pt>
                <c:pt idx="3">
                  <c:v>198.6</c:v>
                </c:pt>
                <c:pt idx="4">
                  <c:v>215.4</c:v>
                </c:pt>
                <c:pt idx="5">
                  <c:v>228.7</c:v>
                </c:pt>
                <c:pt idx="6">
                  <c:v>235.2</c:v>
                </c:pt>
                <c:pt idx="7">
                  <c:v>248.9</c:v>
                </c:pt>
                <c:pt idx="8">
                  <c:v>242.5</c:v>
                </c:pt>
                <c:pt idx="9">
                  <c:v>258.39999999999998</c:v>
                </c:pt>
                <c:pt idx="10">
                  <c:v>272.60000000000002</c:v>
                </c:pt>
                <c:pt idx="11">
                  <c:v>290.3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A-47DA-8AB3-B42218EDD44C}"/>
            </c:ext>
          </c:extLst>
        </c:ser>
        <c:ser>
          <c:idx val="1"/>
          <c:order val="1"/>
          <c:tx>
            <c:strRef>
              <c:f>Analysis!$F$1</c:f>
              <c:strCache>
                <c:ptCount val="1"/>
                <c:pt idx="0">
                  <c:v>Budget Rev (Cr)</c:v>
                </c:pt>
              </c:strCache>
            </c:strRef>
          </c:tx>
          <c:spPr>
            <a:solidFill>
              <a:srgbClr val="B795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Analysis!$F$2:$F$13</c:f>
              <c:numCache>
                <c:formatCode>General</c:formatCode>
                <c:ptCount val="12"/>
                <c:pt idx="0">
                  <c:v>180</c:v>
                </c:pt>
                <c:pt idx="1">
                  <c:v>188</c:v>
                </c:pt>
                <c:pt idx="2">
                  <c:v>200</c:v>
                </c:pt>
                <c:pt idx="3">
                  <c:v>195</c:v>
                </c:pt>
                <c:pt idx="4">
                  <c:v>210</c:v>
                </c:pt>
                <c:pt idx="5">
                  <c:v>222</c:v>
                </c:pt>
                <c:pt idx="6">
                  <c:v>228</c:v>
                </c:pt>
                <c:pt idx="7">
                  <c:v>240</c:v>
                </c:pt>
                <c:pt idx="8">
                  <c:v>238</c:v>
                </c:pt>
                <c:pt idx="9">
                  <c:v>252</c:v>
                </c:pt>
                <c:pt idx="10">
                  <c:v>265</c:v>
                </c:pt>
                <c:pt idx="11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5A-47DA-8AB3-B42218ED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52250"/>
        <c:axId val="54657987"/>
      </c:barChart>
      <c:catAx>
        <c:axId val="342522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657987"/>
        <c:crosses val="autoZero"/>
        <c:auto val="1"/>
        <c:lblAlgn val="ctr"/>
        <c:lblOffset val="100"/>
        <c:noMultiLvlLbl val="0"/>
      </c:catAx>
      <c:valAx>
        <c:axId val="546579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252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  <a:round/>
    </a:ln>
    <a:effectLst>
      <a:glow rad="241300">
        <a:schemeClr val="accent1">
          <a:alpha val="40000"/>
        </a:schemeClr>
      </a:glow>
      <a:outerShdw blurRad="50800" dist="127000" dir="8100000" algn="tr" rotWithShape="0">
        <a:prstClr val="black">
          <a:alpha val="61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Profit Trend (Cr)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Analysis!$E$1</c:f>
              <c:strCache>
                <c:ptCount val="1"/>
                <c:pt idx="0">
                  <c:v>Profit (Cr)</c:v>
                </c:pt>
              </c:strCache>
            </c:strRef>
          </c:tx>
          <c:spPr>
            <a:solidFill>
              <a:srgbClr val="A9DFBF"/>
            </a:solidFill>
            <a:ln w="9360">
              <a:solidFill>
                <a:srgbClr val="1E844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Analysis!$E$2:$E$13</c:f>
              <c:numCache>
                <c:formatCode>General</c:formatCode>
                <c:ptCount val="12"/>
                <c:pt idx="0">
                  <c:v>43.2</c:v>
                </c:pt>
                <c:pt idx="1">
                  <c:v>44.2</c:v>
                </c:pt>
                <c:pt idx="2">
                  <c:v>50.4</c:v>
                </c:pt>
                <c:pt idx="3">
                  <c:v>47.4</c:v>
                </c:pt>
                <c:pt idx="4">
                  <c:v>52.6</c:v>
                </c:pt>
                <c:pt idx="5">
                  <c:v>58.2</c:v>
                </c:pt>
                <c:pt idx="6">
                  <c:v>59.4</c:v>
                </c:pt>
                <c:pt idx="7">
                  <c:v>65.3</c:v>
                </c:pt>
                <c:pt idx="8">
                  <c:v>62.3</c:v>
                </c:pt>
                <c:pt idx="9">
                  <c:v>68.3</c:v>
                </c:pt>
                <c:pt idx="10">
                  <c:v>74.2</c:v>
                </c:pt>
                <c:pt idx="11">
                  <c:v>81.599999999999994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D-4BD7-8D62-52F184885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58663"/>
        <c:axId val="55055319"/>
      </c:areaChart>
      <c:catAx>
        <c:axId val="740586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055319"/>
        <c:crosses val="autoZero"/>
        <c:auto val="1"/>
        <c:lblAlgn val="ctr"/>
        <c:lblOffset val="100"/>
        <c:noMultiLvlLbl val="0"/>
      </c:catAx>
      <c:valAx>
        <c:axId val="55055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05866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  <a:round/>
    </a:ln>
    <a:effectLst>
      <a:glow rad="254000">
        <a:schemeClr val="accent1">
          <a:alpha val="40000"/>
        </a:schemeClr>
      </a:glow>
      <a:outerShdw blurRad="50800" dist="127000" dir="8100000" algn="tr" rotWithShape="0">
        <a:prstClr val="black">
          <a:alpha val="61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Expenses vs Budget (Cr)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Expenses (Cr)</c:v>
                </c:pt>
              </c:strCache>
            </c:strRef>
          </c:tx>
          <c:spPr>
            <a:solidFill>
              <a:srgbClr val="922B2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Analysis!$D$2:$D$13</c:f>
              <c:numCache>
                <c:formatCode>General</c:formatCode>
                <c:ptCount val="12"/>
                <c:pt idx="0">
                  <c:v>142.30000000000001</c:v>
                </c:pt>
                <c:pt idx="1">
                  <c:v>148.1</c:v>
                </c:pt>
                <c:pt idx="2">
                  <c:v>155.4</c:v>
                </c:pt>
                <c:pt idx="3">
                  <c:v>151.19999999999999</c:v>
                </c:pt>
                <c:pt idx="4">
                  <c:v>162.80000000000001</c:v>
                </c:pt>
                <c:pt idx="5">
                  <c:v>170.5</c:v>
                </c:pt>
                <c:pt idx="6">
                  <c:v>175.8</c:v>
                </c:pt>
                <c:pt idx="7">
                  <c:v>183.6</c:v>
                </c:pt>
                <c:pt idx="8">
                  <c:v>180.2</c:v>
                </c:pt>
                <c:pt idx="9">
                  <c:v>190.1</c:v>
                </c:pt>
                <c:pt idx="10">
                  <c:v>198.4</c:v>
                </c:pt>
                <c:pt idx="11">
                  <c:v>208.7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1-4418-BCBF-FBB9543D7681}"/>
            </c:ext>
          </c:extLst>
        </c:ser>
        <c:ser>
          <c:idx val="1"/>
          <c:order val="1"/>
          <c:tx>
            <c:strRef>
              <c:f>Analysis!$G$1</c:f>
              <c:strCache>
                <c:ptCount val="1"/>
                <c:pt idx="0">
                  <c:v>Budget Exp (Cr)</c:v>
                </c:pt>
              </c:strCache>
            </c:strRef>
          </c:tx>
          <c:spPr>
            <a:solidFill>
              <a:srgbClr val="B795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Analysis!$G$2:$G$13</c:f>
              <c:numCache>
                <c:formatCode>General</c:formatCode>
                <c:ptCount val="12"/>
                <c:pt idx="0">
                  <c:v>140</c:v>
                </c:pt>
                <c:pt idx="1">
                  <c:v>145</c:v>
                </c:pt>
                <c:pt idx="2">
                  <c:v>152</c:v>
                </c:pt>
                <c:pt idx="3">
                  <c:v>150</c:v>
                </c:pt>
                <c:pt idx="4">
                  <c:v>158</c:v>
                </c:pt>
                <c:pt idx="5">
                  <c:v>165</c:v>
                </c:pt>
                <c:pt idx="6">
                  <c:v>170</c:v>
                </c:pt>
                <c:pt idx="7">
                  <c:v>178</c:v>
                </c:pt>
                <c:pt idx="8">
                  <c:v>176</c:v>
                </c:pt>
                <c:pt idx="9">
                  <c:v>185</c:v>
                </c:pt>
                <c:pt idx="10">
                  <c:v>192</c:v>
                </c:pt>
                <c:pt idx="1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C1-4418-BCBF-FBB9543D7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91292"/>
        <c:axId val="4871422"/>
      </c:barChart>
      <c:catAx>
        <c:axId val="4109129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71422"/>
        <c:crosses val="autoZero"/>
        <c:auto val="1"/>
        <c:lblAlgn val="ctr"/>
        <c:lblOffset val="100"/>
        <c:noMultiLvlLbl val="0"/>
      </c:catAx>
      <c:valAx>
        <c:axId val="48714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091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  <a:round/>
    </a:ln>
    <a:effectLst>
      <a:glow rad="254000">
        <a:schemeClr val="accent1">
          <a:alpha val="40000"/>
        </a:schemeClr>
      </a:glow>
      <a:outerShdw blurRad="50800" dist="127000" dir="8100000" algn="tr" rotWithShape="0">
        <a:prstClr val="black">
          <a:alpha val="61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8</xdr:row>
      <xdr:rowOff>69850</xdr:rowOff>
    </xdr:from>
    <xdr:to>
      <xdr:col>8</xdr:col>
      <xdr:colOff>10440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508000</xdr:colOff>
      <xdr:row>8</xdr:row>
      <xdr:rowOff>101600</xdr:rowOff>
    </xdr:from>
    <xdr:to>
      <xdr:col>16</xdr:col>
      <xdr:colOff>392710</xdr:colOff>
      <xdr:row>18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387350</xdr:colOff>
      <xdr:row>19</xdr:row>
      <xdr:rowOff>101600</xdr:rowOff>
    </xdr:from>
    <xdr:to>
      <xdr:col>7</xdr:col>
      <xdr:colOff>626390</xdr:colOff>
      <xdr:row>29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533400</xdr:colOff>
      <xdr:row>19</xdr:row>
      <xdr:rowOff>69850</xdr:rowOff>
    </xdr:from>
    <xdr:to>
      <xdr:col>16</xdr:col>
      <xdr:colOff>418110</xdr:colOff>
      <xdr:row>29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1" width="16" customWidth="1"/>
  </cols>
  <sheetData>
    <row r="1" spans="1:11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5">
      <c r="A3" s="3" t="s">
        <v>22</v>
      </c>
      <c r="B3" s="3" t="s">
        <v>15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</row>
    <row r="4" spans="1:11" x14ac:dyDescent="0.35">
      <c r="A4" s="2" t="s">
        <v>32</v>
      </c>
      <c r="B4" s="2" t="s">
        <v>25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</row>
    <row r="5" spans="1:11" x14ac:dyDescent="0.35">
      <c r="A5" s="3" t="s">
        <v>42</v>
      </c>
      <c r="B5" s="3" t="s">
        <v>35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</row>
    <row r="6" spans="1:11" x14ac:dyDescent="0.35">
      <c r="A6" s="2" t="s">
        <v>52</v>
      </c>
      <c r="B6" s="2" t="s">
        <v>45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</row>
    <row r="7" spans="1:11" x14ac:dyDescent="0.35">
      <c r="A7" s="3" t="s">
        <v>62</v>
      </c>
      <c r="B7" s="3" t="s">
        <v>55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  <c r="J7" s="3" t="s">
        <v>70</v>
      </c>
      <c r="K7" s="3" t="s">
        <v>71</v>
      </c>
    </row>
    <row r="8" spans="1:11" x14ac:dyDescent="0.35">
      <c r="A8" s="2" t="s">
        <v>72</v>
      </c>
      <c r="B8" s="2" t="s">
        <v>65</v>
      </c>
      <c r="C8" s="2" t="s">
        <v>73</v>
      </c>
      <c r="D8" s="2" t="s">
        <v>53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78</v>
      </c>
      <c r="J8" s="2" t="s">
        <v>79</v>
      </c>
      <c r="K8" s="2" t="s">
        <v>80</v>
      </c>
    </row>
    <row r="9" spans="1:11" x14ac:dyDescent="0.35">
      <c r="A9" s="3" t="s">
        <v>81</v>
      </c>
      <c r="B9" s="3" t="s">
        <v>74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x14ac:dyDescent="0.35">
      <c r="A10" s="2" t="s">
        <v>91</v>
      </c>
      <c r="B10" s="2" t="s">
        <v>84</v>
      </c>
      <c r="C10" s="2" t="s">
        <v>92</v>
      </c>
      <c r="D10" s="2" t="s">
        <v>73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  <c r="K10" s="2" t="s">
        <v>99</v>
      </c>
    </row>
    <row r="11" spans="1:11" x14ac:dyDescent="0.35">
      <c r="A11" s="3" t="s">
        <v>100</v>
      </c>
      <c r="B11" s="3" t="s">
        <v>93</v>
      </c>
      <c r="C11" s="3" t="s">
        <v>101</v>
      </c>
      <c r="D11" s="3" t="s">
        <v>102</v>
      </c>
      <c r="E11" s="3" t="s">
        <v>103</v>
      </c>
      <c r="F11" s="3" t="s">
        <v>104</v>
      </c>
      <c r="G11" s="3" t="s">
        <v>105</v>
      </c>
      <c r="H11" s="3" t="s">
        <v>106</v>
      </c>
      <c r="I11" s="3" t="s">
        <v>107</v>
      </c>
      <c r="J11" s="3" t="s">
        <v>108</v>
      </c>
      <c r="K11" s="3" t="s">
        <v>109</v>
      </c>
    </row>
    <row r="12" spans="1:11" x14ac:dyDescent="0.35">
      <c r="A12" s="2" t="s">
        <v>110</v>
      </c>
      <c r="B12" s="2" t="s">
        <v>103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  <c r="K12" s="2" t="s">
        <v>119</v>
      </c>
    </row>
    <row r="13" spans="1:11" x14ac:dyDescent="0.35">
      <c r="A13" s="3" t="s">
        <v>120</v>
      </c>
      <c r="B13" s="3" t="s">
        <v>113</v>
      </c>
      <c r="C13" s="3" t="s">
        <v>121</v>
      </c>
      <c r="D13" s="3" t="s">
        <v>122</v>
      </c>
      <c r="E13" s="3" t="s">
        <v>123</v>
      </c>
      <c r="F13" s="3" t="s">
        <v>124</v>
      </c>
      <c r="G13" s="3" t="s">
        <v>125</v>
      </c>
      <c r="H13" s="3" t="s">
        <v>126</v>
      </c>
      <c r="I13" s="3" t="s">
        <v>127</v>
      </c>
      <c r="J13" s="3" t="s">
        <v>128</v>
      </c>
      <c r="K13" s="3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Normal="100" workbookViewId="0"/>
  </sheetViews>
  <sheetFormatPr defaultColWidth="8.6328125" defaultRowHeight="14.5" x14ac:dyDescent="0.35"/>
  <cols>
    <col min="1" max="1" width="10" customWidth="1"/>
    <col min="2" max="2" width="16" customWidth="1"/>
    <col min="3" max="4" width="14" customWidth="1"/>
    <col min="5" max="5" width="12" customWidth="1"/>
    <col min="6" max="7" width="14" customWidth="1"/>
  </cols>
  <sheetData>
    <row r="1" spans="1:7" x14ac:dyDescent="0.35">
      <c r="A1" s="4" t="s">
        <v>130</v>
      </c>
      <c r="B1" s="4" t="s">
        <v>131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136</v>
      </c>
    </row>
    <row r="2" spans="1:7" x14ac:dyDescent="0.35">
      <c r="A2" s="2" t="s">
        <v>137</v>
      </c>
      <c r="B2" s="2">
        <v>1472.5</v>
      </c>
      <c r="C2" s="2">
        <v>185.5</v>
      </c>
      <c r="D2" s="2">
        <v>142.30000000000001</v>
      </c>
      <c r="E2" s="2">
        <v>43.2</v>
      </c>
      <c r="F2" s="2">
        <v>180</v>
      </c>
      <c r="G2" s="2">
        <v>140</v>
      </c>
    </row>
    <row r="3" spans="1:7" x14ac:dyDescent="0.35">
      <c r="A3" s="3" t="s">
        <v>138</v>
      </c>
      <c r="B3" s="3">
        <v>1498.75</v>
      </c>
      <c r="C3" s="3">
        <v>192.3</v>
      </c>
      <c r="D3" s="3">
        <v>148.1</v>
      </c>
      <c r="E3" s="3">
        <v>44.2</v>
      </c>
      <c r="F3" s="3">
        <v>188</v>
      </c>
      <c r="G3" s="3">
        <v>145</v>
      </c>
    </row>
    <row r="4" spans="1:7" x14ac:dyDescent="0.35">
      <c r="A4" s="2" t="s">
        <v>139</v>
      </c>
      <c r="B4" s="2">
        <v>1532</v>
      </c>
      <c r="C4" s="2">
        <v>205.8</v>
      </c>
      <c r="D4" s="2">
        <v>155.4</v>
      </c>
      <c r="E4" s="2">
        <v>50.4</v>
      </c>
      <c r="F4" s="2">
        <v>200</v>
      </c>
      <c r="G4" s="2">
        <v>152</v>
      </c>
    </row>
    <row r="5" spans="1:7" x14ac:dyDescent="0.35">
      <c r="A5" s="3" t="s">
        <v>140</v>
      </c>
      <c r="B5" s="3">
        <v>1551.25</v>
      </c>
      <c r="C5" s="3">
        <v>198.6</v>
      </c>
      <c r="D5" s="3">
        <v>151.19999999999999</v>
      </c>
      <c r="E5" s="3">
        <v>47.4</v>
      </c>
      <c r="F5" s="3">
        <v>195</v>
      </c>
      <c r="G5" s="3">
        <v>150</v>
      </c>
    </row>
    <row r="6" spans="1:7" x14ac:dyDescent="0.35">
      <c r="A6" s="2" t="s">
        <v>141</v>
      </c>
      <c r="B6" s="2">
        <v>1578.5</v>
      </c>
      <c r="C6" s="2">
        <v>215.4</v>
      </c>
      <c r="D6" s="2">
        <v>162.80000000000001</v>
      </c>
      <c r="E6" s="2">
        <v>52.6</v>
      </c>
      <c r="F6" s="2">
        <v>210</v>
      </c>
      <c r="G6" s="2">
        <v>158</v>
      </c>
    </row>
    <row r="7" spans="1:7" x14ac:dyDescent="0.35">
      <c r="A7" s="3" t="s">
        <v>142</v>
      </c>
      <c r="B7" s="3">
        <v>1612.75</v>
      </c>
      <c r="C7" s="3">
        <v>228.7</v>
      </c>
      <c r="D7" s="3">
        <v>170.5</v>
      </c>
      <c r="E7" s="3">
        <v>58.2</v>
      </c>
      <c r="F7" s="3">
        <v>222</v>
      </c>
      <c r="G7" s="3">
        <v>165</v>
      </c>
    </row>
    <row r="8" spans="1:7" x14ac:dyDescent="0.35">
      <c r="A8" s="2" t="s">
        <v>143</v>
      </c>
      <c r="B8" s="2">
        <v>1642</v>
      </c>
      <c r="C8" s="2">
        <v>235.2</v>
      </c>
      <c r="D8" s="2">
        <v>175.8</v>
      </c>
      <c r="E8" s="2">
        <v>59.4</v>
      </c>
      <c r="F8" s="2">
        <v>228</v>
      </c>
      <c r="G8" s="2">
        <v>170</v>
      </c>
    </row>
    <row r="9" spans="1:7" x14ac:dyDescent="0.35">
      <c r="A9" s="3" t="s">
        <v>144</v>
      </c>
      <c r="B9" s="3">
        <v>1675.25</v>
      </c>
      <c r="C9" s="3">
        <v>248.9</v>
      </c>
      <c r="D9" s="3">
        <v>183.6</v>
      </c>
      <c r="E9" s="3">
        <v>65.3</v>
      </c>
      <c r="F9" s="3">
        <v>240</v>
      </c>
      <c r="G9" s="3">
        <v>178</v>
      </c>
    </row>
    <row r="10" spans="1:7" x14ac:dyDescent="0.35">
      <c r="A10" s="2" t="s">
        <v>145</v>
      </c>
      <c r="B10" s="2">
        <v>1698.5</v>
      </c>
      <c r="C10" s="2">
        <v>242.5</v>
      </c>
      <c r="D10" s="2">
        <v>180.2</v>
      </c>
      <c r="E10" s="2">
        <v>62.3</v>
      </c>
      <c r="F10" s="2">
        <v>238</v>
      </c>
      <c r="G10" s="2">
        <v>176</v>
      </c>
    </row>
    <row r="11" spans="1:7" x14ac:dyDescent="0.35">
      <c r="A11" s="3" t="s">
        <v>146</v>
      </c>
      <c r="B11" s="3">
        <v>1728.75</v>
      </c>
      <c r="C11" s="3">
        <v>258.39999999999998</v>
      </c>
      <c r="D11" s="3">
        <v>190.1</v>
      </c>
      <c r="E11" s="3">
        <v>68.3</v>
      </c>
      <c r="F11" s="3">
        <v>252</v>
      </c>
      <c r="G11" s="3">
        <v>185</v>
      </c>
    </row>
    <row r="12" spans="1:7" x14ac:dyDescent="0.35">
      <c r="A12" s="2" t="s">
        <v>147</v>
      </c>
      <c r="B12" s="2">
        <v>1758</v>
      </c>
      <c r="C12" s="2">
        <v>272.60000000000002</v>
      </c>
      <c r="D12" s="2">
        <v>198.4</v>
      </c>
      <c r="E12" s="2">
        <v>74.2</v>
      </c>
      <c r="F12" s="2">
        <v>265</v>
      </c>
      <c r="G12" s="2">
        <v>192</v>
      </c>
    </row>
    <row r="13" spans="1:7" x14ac:dyDescent="0.35">
      <c r="A13" s="3" t="s">
        <v>148</v>
      </c>
      <c r="B13" s="3">
        <v>1795.5</v>
      </c>
      <c r="C13" s="3">
        <v>290.3</v>
      </c>
      <c r="D13" s="3">
        <v>208.7</v>
      </c>
      <c r="E13" s="3">
        <v>81.599999999999994</v>
      </c>
      <c r="F13" s="3">
        <v>282</v>
      </c>
      <c r="G13" s="3">
        <v>202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showGridLines="0" tabSelected="1" zoomScaleNormal="100" workbookViewId="0">
      <selection activeCell="W16" sqref="W16"/>
    </sheetView>
  </sheetViews>
  <sheetFormatPr defaultColWidth="8.6328125" defaultRowHeight="14.5" x14ac:dyDescent="0.35"/>
  <cols>
    <col min="1" max="19" width="9" customWidth="1"/>
  </cols>
  <sheetData>
    <row r="1" spans="1:19" ht="19.5" customHeight="1" x14ac:dyDescent="0.35">
      <c r="A1" s="11" t="s">
        <v>149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19.5" customHeigh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5.75" customHeight="1" x14ac:dyDescent="0.35">
      <c r="A3" s="12" t="s">
        <v>150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ht="7.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21.75" customHeight="1" x14ac:dyDescent="0.35">
      <c r="A5" s="13" t="s">
        <v>151</v>
      </c>
      <c r="B5" s="13"/>
      <c r="C5" s="13"/>
      <c r="E5" s="14" t="s">
        <v>152</v>
      </c>
      <c r="F5" s="14"/>
      <c r="G5" s="14"/>
      <c r="I5" s="15" t="s">
        <v>153</v>
      </c>
      <c r="J5" s="15"/>
      <c r="K5" s="15"/>
      <c r="M5" s="16" t="s">
        <v>154</v>
      </c>
      <c r="N5" s="16"/>
      <c r="O5" s="16"/>
      <c r="Q5" s="17" t="s">
        <v>155</v>
      </c>
      <c r="R5" s="17"/>
      <c r="S5" s="17"/>
    </row>
    <row r="6" spans="1:19" ht="21.75" customHeight="1" x14ac:dyDescent="0.35">
      <c r="A6" s="6" t="s">
        <v>156</v>
      </c>
      <c r="B6" s="6"/>
      <c r="C6" s="6"/>
      <c r="E6" s="7" t="s">
        <v>157</v>
      </c>
      <c r="F6" s="7"/>
      <c r="G6" s="7"/>
      <c r="I6" s="8" t="s">
        <v>158</v>
      </c>
      <c r="J6" s="8"/>
      <c r="K6" s="8"/>
      <c r="M6" s="9" t="s">
        <v>159</v>
      </c>
      <c r="N6" s="9"/>
      <c r="O6" s="9"/>
      <c r="Q6" s="10" t="s">
        <v>160</v>
      </c>
      <c r="R6" s="10"/>
      <c r="S6" s="10"/>
    </row>
    <row r="7" spans="1:19" ht="21.75" customHeight="1" x14ac:dyDescent="0.35"/>
    <row r="8" spans="1:19" ht="7.5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15.75" customHeight="1" x14ac:dyDescent="0.35"/>
    <row r="10" spans="1:19" ht="15.75" customHeight="1" x14ac:dyDescent="0.35"/>
    <row r="11" spans="1:19" ht="15.75" customHeight="1" x14ac:dyDescent="0.35"/>
    <row r="12" spans="1:19" ht="15.75" customHeight="1" x14ac:dyDescent="0.35"/>
    <row r="13" spans="1:19" ht="15.75" customHeight="1" x14ac:dyDescent="0.35"/>
    <row r="14" spans="1:19" ht="15.75" customHeight="1" x14ac:dyDescent="0.35"/>
    <row r="15" spans="1:19" ht="15.75" customHeight="1" x14ac:dyDescent="0.35"/>
    <row r="16" spans="1:19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</sheetData>
  <mergeCells count="12">
    <mergeCell ref="A1:S2"/>
    <mergeCell ref="A3:S3"/>
    <mergeCell ref="A5:C5"/>
    <mergeCell ref="E5:G5"/>
    <mergeCell ref="I5:K5"/>
    <mergeCell ref="M5:O5"/>
    <mergeCell ref="Q5:S5"/>
    <mergeCell ref="A6:C6"/>
    <mergeCell ref="E6:G6"/>
    <mergeCell ref="I6:K6"/>
    <mergeCell ref="M6:O6"/>
    <mergeCell ref="Q6:S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Financial_Data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Ajay Kumar Reddy</cp:lastModifiedBy>
  <cp:revision>1</cp:revision>
  <dcterms:created xsi:type="dcterms:W3CDTF">2026-05-12T08:12:21Z</dcterms:created>
  <dcterms:modified xsi:type="dcterms:W3CDTF">2026-05-12T10:14:34Z</dcterms:modified>
  <dc:language>en-US</dc:language>
</cp:coreProperties>
</file>